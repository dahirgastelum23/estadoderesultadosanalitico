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</sheets>
  <definedNames>
    <definedName name="_xlnm.Print_Titles" localSheetId="0">'Estado de Resultados'!$1:$5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1"/>
    </font>
    <font>
      <b val="1"/>
      <sz val="12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2" customWidth="1" min="3" max="3"/>
  </cols>
  <sheetData>
    <row r="1">
      <c r="A1" s="1" t="inlineStr">
        <is>
          <t>ESTADO DE RESULTADOS ANALÍTICO</t>
        </is>
      </c>
      <c r="C1" s="2" t="n"/>
    </row>
    <row r="2">
      <c r="A2" s="3" t="inlineStr">
        <is>
          <t>Empresa:</t>
        </is>
      </c>
      <c r="B2" t="inlineStr">
        <is>
          <t>El inicio</t>
        </is>
      </c>
      <c r="C2" s="2" t="n"/>
    </row>
    <row r="3">
      <c r="A3" s="3" t="inlineStr">
        <is>
          <t>Periodo:</t>
        </is>
      </c>
      <c r="B3" t="inlineStr">
        <is>
          <t>Sept 2026</t>
        </is>
      </c>
      <c r="C3" s="2" t="n"/>
    </row>
    <row r="4">
      <c r="C4" s="2" t="n"/>
    </row>
    <row r="5">
      <c r="A5" s="4" t="inlineStr">
        <is>
          <t>Concepto</t>
        </is>
      </c>
      <c r="B5" s="4" t="inlineStr">
        <is>
          <t>Importe</t>
        </is>
      </c>
      <c r="C5" s="5" t="inlineStr">
        <is>
          <t>Fórmula</t>
        </is>
      </c>
    </row>
    <row r="6">
      <c r="A6" s="6" t="inlineStr">
        <is>
          <t>VENTAS</t>
        </is>
      </c>
      <c r="C6" s="2" t="n"/>
    </row>
    <row r="7">
      <c r="A7" t="inlineStr">
        <is>
          <t>Ventas</t>
        </is>
      </c>
      <c r="B7" s="7" t="n">
        <v>1000000</v>
      </c>
      <c r="C7" s="2" t="n"/>
    </row>
    <row r="8">
      <c r="A8" t="inlineStr">
        <is>
          <t>Devoluciones sobre ventas</t>
        </is>
      </c>
      <c r="B8" s="7" t="n">
        <v>20000</v>
      </c>
      <c r="C8" s="2" t="n"/>
    </row>
    <row r="9">
      <c r="A9" t="inlineStr">
        <is>
          <t>Rebajas sobre ventas</t>
        </is>
      </c>
      <c r="B9" s="7" t="n">
        <v>10000</v>
      </c>
      <c r="C9" s="2" t="n"/>
    </row>
    <row r="10">
      <c r="A10" t="inlineStr">
        <is>
          <t>Descuentos sobre ventas</t>
        </is>
      </c>
      <c r="B10" s="7" t="n">
        <v>0</v>
      </c>
      <c r="C10" s="2" t="n"/>
    </row>
    <row r="11">
      <c r="A11" t="inlineStr">
        <is>
          <t>Bonificaciones sobre ventas</t>
        </is>
      </c>
      <c r="B11" s="7" t="n">
        <v>5000</v>
      </c>
      <c r="C11" s="2" t="n"/>
    </row>
    <row r="12">
      <c r="A12" s="8" t="inlineStr">
        <is>
          <t>Ventas netas</t>
        </is>
      </c>
      <c r="B12" s="9">
        <f>B7-B8-B9-B10-B11</f>
        <v/>
      </c>
      <c r="C12" s="10">
        <f>B7-B8-B9-B10-B11</f>
        <v/>
      </c>
    </row>
    <row r="13">
      <c r="B13" s="7" t="n"/>
      <c r="C13" s="2" t="n"/>
    </row>
    <row r="14">
      <c r="A14" s="6" t="inlineStr">
        <is>
          <t>COMPRAS</t>
        </is>
      </c>
      <c r="B14" s="7" t="n"/>
      <c r="C14" s="2" t="n"/>
    </row>
    <row r="15">
      <c r="A15" t="inlineStr">
        <is>
          <t>Compras</t>
        </is>
      </c>
      <c r="B15" s="7" t="n">
        <v>250000</v>
      </c>
      <c r="C15" s="2" t="n"/>
    </row>
    <row r="16">
      <c r="A16" t="inlineStr">
        <is>
          <t>Gastos sobre compras</t>
        </is>
      </c>
      <c r="B16" s="7" t="n">
        <v>5000</v>
      </c>
      <c r="C16" s="2" t="n"/>
    </row>
    <row r="17">
      <c r="A17" s="8" t="inlineStr">
        <is>
          <t>Compras totales</t>
        </is>
      </c>
      <c r="B17" s="9">
        <f>B15+B16</f>
        <v/>
      </c>
      <c r="C17" s="10">
        <f>B15+B16</f>
        <v/>
      </c>
    </row>
    <row r="18">
      <c r="A18" t="inlineStr">
        <is>
          <t>Devoluciones sobre compras</t>
        </is>
      </c>
      <c r="B18" s="7" t="n">
        <v>15000</v>
      </c>
      <c r="C18" s="2" t="n"/>
    </row>
    <row r="19">
      <c r="A19" t="inlineStr">
        <is>
          <t>Rebajas sobre compras</t>
        </is>
      </c>
      <c r="B19" s="7" t="n">
        <v>6500</v>
      </c>
      <c r="C19" s="2" t="n"/>
    </row>
    <row r="20">
      <c r="A20" t="inlineStr">
        <is>
          <t>Descuentos sobre compras</t>
        </is>
      </c>
      <c r="B20" s="7" t="n">
        <v>0</v>
      </c>
      <c r="C20" s="2" t="n"/>
    </row>
    <row r="21">
      <c r="A21" t="inlineStr">
        <is>
          <t>Bonificaciones sobre compras</t>
        </is>
      </c>
      <c r="B21" s="7" t="n">
        <v>0</v>
      </c>
      <c r="C21" s="2" t="n"/>
    </row>
    <row r="22">
      <c r="A22" s="8" t="inlineStr">
        <is>
          <t>Compras netas</t>
        </is>
      </c>
      <c r="B22" s="9">
        <f>B17-B18-B19-B20-B21</f>
        <v/>
      </c>
      <c r="C22" s="10">
        <f>B17-B18-B19-B20-B21</f>
        <v/>
      </c>
    </row>
    <row r="23">
      <c r="B23" s="7" t="n"/>
      <c r="C23" s="2" t="n"/>
    </row>
    <row r="24">
      <c r="A24" s="6" t="inlineStr">
        <is>
          <t>COSTO DE VENTAS</t>
        </is>
      </c>
      <c r="B24" s="7" t="n"/>
      <c r="C24" s="2" t="n"/>
    </row>
    <row r="25">
      <c r="A25" t="inlineStr">
        <is>
          <t>Inventario inicial</t>
        </is>
      </c>
      <c r="B25" s="7" t="n">
        <v>1500000</v>
      </c>
      <c r="C25" s="2" t="n"/>
    </row>
    <row r="26">
      <c r="A26" t="inlineStr">
        <is>
          <t>Compras netas</t>
        </is>
      </c>
      <c r="B26" s="7">
        <f>B22</f>
        <v/>
      </c>
      <c r="C26" s="2" t="n"/>
    </row>
    <row r="27">
      <c r="A27" s="8" t="inlineStr">
        <is>
          <t>Mercancía disponible</t>
        </is>
      </c>
      <c r="B27" s="9">
        <f>B25+B26</f>
        <v/>
      </c>
      <c r="C27" s="10">
        <f>B25+B26</f>
        <v/>
      </c>
    </row>
    <row r="28">
      <c r="A28" t="inlineStr">
        <is>
          <t>Inventario final</t>
        </is>
      </c>
      <c r="B28" s="7" t="n">
        <v>170000</v>
      </c>
      <c r="C28" s="2" t="n"/>
    </row>
    <row r="29">
      <c r="A29" s="8" t="inlineStr">
        <is>
          <t>Costo de ventas</t>
        </is>
      </c>
      <c r="B29" s="9">
        <f>B27-B28</f>
        <v/>
      </c>
      <c r="C29" s="10">
        <f>B27-B28</f>
        <v/>
      </c>
    </row>
    <row r="30">
      <c r="B30" s="7" t="n"/>
      <c r="C30" s="2" t="n"/>
    </row>
    <row r="31">
      <c r="A31" s="11" t="inlineStr">
        <is>
          <t>Utilidad bruta</t>
        </is>
      </c>
      <c r="B31" s="12">
        <f>B12-B29</f>
        <v/>
      </c>
      <c r="C31" s="10">
        <f>B12-B29</f>
        <v/>
      </c>
    </row>
    <row r="32">
      <c r="B32" s="7" t="n"/>
      <c r="C32" s="2" t="n"/>
    </row>
    <row r="33">
      <c r="A33" s="6" t="inlineStr">
        <is>
          <t>GASTOS DE OPERACIÓN</t>
        </is>
      </c>
      <c r="B33" s="7" t="n"/>
      <c r="C33" s="2" t="n"/>
    </row>
    <row r="34">
      <c r="A34" t="inlineStr">
        <is>
          <t>Gastos de venta</t>
        </is>
      </c>
      <c r="B34" s="7" t="n">
        <v>0</v>
      </c>
      <c r="C34" s="2" t="n"/>
    </row>
    <row r="35">
      <c r="A35" t="inlineStr">
        <is>
          <t>Gastos de administración</t>
        </is>
      </c>
      <c r="B35" s="7" t="n">
        <v>0</v>
      </c>
      <c r="C35" s="2" t="n"/>
    </row>
    <row r="36">
      <c r="A36" t="inlineStr">
        <is>
          <t>Depreciaciones</t>
        </is>
      </c>
      <c r="B36" s="7" t="n">
        <v>0</v>
      </c>
      <c r="C36" s="2" t="n"/>
    </row>
    <row r="37">
      <c r="A37" s="8" t="inlineStr">
        <is>
          <t>Total gastos de operación</t>
        </is>
      </c>
      <c r="B37" s="9">
        <f>SUM(B34:B36)</f>
        <v/>
      </c>
      <c r="C37" s="10">
        <f>SUM(B34:B36)</f>
        <v/>
      </c>
    </row>
    <row r="38">
      <c r="B38" s="7" t="n"/>
      <c r="C38" s="2" t="n"/>
    </row>
    <row r="39">
      <c r="A39" s="11" t="inlineStr">
        <is>
          <t>Utilidad de operación</t>
        </is>
      </c>
      <c r="B39" s="12">
        <f>B31-B37</f>
        <v/>
      </c>
      <c r="C39" s="10">
        <f>B31-B37</f>
        <v/>
      </c>
    </row>
    <row r="40">
      <c r="B40" s="7" t="n"/>
      <c r="C40" s="2" t="n"/>
    </row>
    <row r="41">
      <c r="A41" s="6" t="inlineStr">
        <is>
          <t>OTROS PRODUCTOS Y GASTOS</t>
        </is>
      </c>
      <c r="B41" s="7" t="n"/>
      <c r="C41" s="2" t="n"/>
    </row>
    <row r="42">
      <c r="A42" t="inlineStr">
        <is>
          <t>Productos financieros</t>
        </is>
      </c>
      <c r="B42" s="7" t="n">
        <v>0</v>
      </c>
      <c r="C42" s="2" t="n"/>
    </row>
    <row r="43">
      <c r="A43" t="inlineStr">
        <is>
          <t>Otros productos</t>
        </is>
      </c>
      <c r="B43" s="7" t="n">
        <v>0</v>
      </c>
      <c r="C43" s="2" t="n"/>
    </row>
    <row r="44">
      <c r="A44" t="inlineStr">
        <is>
          <t>Gastos financieros</t>
        </is>
      </c>
      <c r="B44" s="7" t="n">
        <v>0</v>
      </c>
      <c r="C44" s="2" t="n"/>
    </row>
    <row r="45">
      <c r="A45" t="inlineStr">
        <is>
          <t>Otros gastos</t>
        </is>
      </c>
      <c r="B45" s="7" t="n">
        <v>0</v>
      </c>
      <c r="C45" s="2" t="n"/>
    </row>
    <row r="46">
      <c r="B46" s="7" t="n"/>
      <c r="C46" s="2" t="n"/>
    </row>
    <row r="47">
      <c r="A47" s="11" t="inlineStr">
        <is>
          <t>Resultado antes de impuestos</t>
        </is>
      </c>
      <c r="B47" s="12">
        <f>B39+B42+B43-B44-B45</f>
        <v/>
      </c>
      <c r="C47" s="10">
        <f>B39+B42+B43-B44-B45</f>
        <v/>
      </c>
    </row>
    <row r="48">
      <c r="B48" s="7" t="n"/>
      <c r="C48" s="2" t="n"/>
    </row>
    <row r="49">
      <c r="A49" s="6" t="inlineStr">
        <is>
          <t>PTU E ISR</t>
        </is>
      </c>
      <c r="B49" s="7" t="n"/>
      <c r="C49" s="2" t="n"/>
    </row>
    <row r="50">
      <c r="A50" s="8" t="inlineStr">
        <is>
          <t>PTU (10%)</t>
        </is>
      </c>
      <c r="B50" s="9">
        <f>B47*10%</f>
        <v/>
      </c>
      <c r="C50" s="10">
        <f>B47*10%</f>
        <v/>
      </c>
    </row>
    <row r="51">
      <c r="A51" s="8" t="inlineStr">
        <is>
          <t>ISR (30%)</t>
        </is>
      </c>
      <c r="B51" s="9">
        <f>B47*30%</f>
        <v/>
      </c>
      <c r="C51" s="10">
        <f>B47*30%</f>
        <v/>
      </c>
    </row>
    <row r="52">
      <c r="B52" s="7" t="n"/>
      <c r="C52" s="2" t="n"/>
    </row>
    <row r="53">
      <c r="A53" s="13" t="inlineStr">
        <is>
          <t>UTILIDAD NETA</t>
        </is>
      </c>
      <c r="B53" s="14">
        <f>B47-B50-B51</f>
        <v/>
      </c>
      <c r="C53" s="10">
        <f>B47-B50-B51</f>
        <v/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2026-09-09T04:12:42Z</dcterms:created>
  <dcterms:modified xmlns:dcterms="http://purl.org/dc/terms/" xmlns:xsi="http://www.w3.org/2001/XMLSchema-instance" xsi:type="dcterms:W3CDTF">2026-09-09T04:12:42Z</dcterms:modified>
</cp:coreProperties>
</file>